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e CH\Documents\fyp-main2\results_500_300_8\"/>
    </mc:Choice>
  </mc:AlternateContent>
  <xr:revisionPtr revIDLastSave="0" documentId="13_ncr:1_{6DA55F26-AB37-495C-B4DE-17B9F35E9C0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esults" sheetId="1" r:id="rId1"/>
    <sheet name="Summary" sheetId="2" r:id="rId2"/>
  </sheets>
  <definedNames>
    <definedName name="_xlnm._FilterDatabase" localSheetId="1" hidden="1">Summary!$A$10:$K$20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H20" i="2"/>
  <c r="J20" i="2" s="1"/>
  <c r="F20" i="2"/>
  <c r="E20" i="2"/>
  <c r="C20" i="2"/>
  <c r="B20" i="2"/>
  <c r="I19" i="2"/>
  <c r="H19" i="2"/>
  <c r="J19" i="2" s="1"/>
  <c r="F19" i="2"/>
  <c r="E19" i="2"/>
  <c r="C19" i="2"/>
  <c r="B19" i="2"/>
  <c r="I18" i="2"/>
  <c r="H18" i="2"/>
  <c r="J18" i="2" s="1"/>
  <c r="F18" i="2"/>
  <c r="E18" i="2"/>
  <c r="C18" i="2"/>
  <c r="B18" i="2"/>
  <c r="D18" i="2" s="1"/>
  <c r="K18" i="2" s="1"/>
  <c r="I17" i="2"/>
  <c r="H17" i="2"/>
  <c r="F17" i="2"/>
  <c r="E17" i="2"/>
  <c r="G17" i="2" s="1"/>
  <c r="C17" i="2"/>
  <c r="B17" i="2"/>
  <c r="D17" i="2" s="1"/>
  <c r="K17" i="2" s="1"/>
  <c r="I16" i="2"/>
  <c r="H16" i="2"/>
  <c r="F16" i="2"/>
  <c r="E16" i="2"/>
  <c r="C16" i="2"/>
  <c r="B16" i="2"/>
  <c r="I15" i="2"/>
  <c r="H15" i="2"/>
  <c r="F15" i="2"/>
  <c r="E15" i="2"/>
  <c r="C15" i="2"/>
  <c r="B15" i="2"/>
  <c r="I14" i="2"/>
  <c r="H14" i="2"/>
  <c r="J14" i="2" s="1"/>
  <c r="F14" i="2"/>
  <c r="E14" i="2"/>
  <c r="C14" i="2"/>
  <c r="B14" i="2"/>
  <c r="D14" i="2" s="1"/>
  <c r="K14" i="2" s="1"/>
  <c r="I13" i="2"/>
  <c r="H13" i="2"/>
  <c r="J13" i="2" s="1"/>
  <c r="F13" i="2"/>
  <c r="G13" i="2" s="1"/>
  <c r="E13" i="2"/>
  <c r="C13" i="2"/>
  <c r="B13" i="2"/>
  <c r="I12" i="2"/>
  <c r="H12" i="2"/>
  <c r="J12" i="2" s="1"/>
  <c r="F12" i="2"/>
  <c r="E12" i="2"/>
  <c r="C12" i="2"/>
  <c r="B12" i="2"/>
  <c r="D12" i="2" s="1"/>
  <c r="I11" i="2"/>
  <c r="H11" i="2"/>
  <c r="J11" i="2" s="1"/>
  <c r="F11" i="2"/>
  <c r="E11" i="2"/>
  <c r="C11" i="2"/>
  <c r="B11" i="2"/>
  <c r="D11" i="2" s="1"/>
  <c r="K11" i="2" s="1"/>
  <c r="D19" i="2" l="1"/>
  <c r="K19" i="2" s="1"/>
  <c r="G14" i="2"/>
  <c r="D15" i="2"/>
  <c r="K15" i="2" s="1"/>
  <c r="J17" i="2"/>
  <c r="G20" i="2"/>
  <c r="D13" i="2"/>
  <c r="K13" i="2" s="1"/>
  <c r="J16" i="2"/>
  <c r="G11" i="2"/>
  <c r="D16" i="2"/>
  <c r="K16" i="2" s="1"/>
  <c r="G16" i="2"/>
  <c r="G19" i="2"/>
  <c r="G12" i="2"/>
  <c r="D20" i="2"/>
  <c r="K20" i="2" s="1"/>
  <c r="J15" i="2"/>
  <c r="B9" i="2" s="1"/>
  <c r="G15" i="2"/>
  <c r="G18" i="2"/>
  <c r="K12" i="2"/>
  <c r="B8" i="2" l="1"/>
  <c r="B7" i="2"/>
  <c r="B4" i="2"/>
  <c r="B6" i="2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Comparison built from Results sheet; all derived fields use spreadsheet formulas.</t>
        </r>
      </text>
    </comment>
  </commentList>
</comments>
</file>

<file path=xl/sharedStrings.xml><?xml version="1.0" encoding="utf-8"?>
<sst xmlns="http://schemas.openxmlformats.org/spreadsheetml/2006/main" count="53" uniqueCount="34">
  <si>
    <t>Problem</t>
  </si>
  <si>
    <t>Algorithm</t>
  </si>
  <si>
    <t>BestFitness_Avg</t>
  </si>
  <si>
    <t>BestFitness_Std</t>
  </si>
  <si>
    <t>BestFitness_Min</t>
  </si>
  <si>
    <t>BestFitness_Max</t>
  </si>
  <si>
    <t>ExecutionTime_Avg_s</t>
  </si>
  <si>
    <t>ExecutionTime_Std_s</t>
  </si>
  <si>
    <t>TotalDistance_Avg</t>
  </si>
  <si>
    <t>TotalDistance_Std</t>
  </si>
  <si>
    <t>GA</t>
  </si>
  <si>
    <t>RL-GA</t>
  </si>
  <si>
    <t>Summary comparison (lower values are better)</t>
  </si>
  <si>
    <t>Metric</t>
  </si>
  <si>
    <t>Value</t>
  </si>
  <si>
    <t>Notes</t>
  </si>
  <si>
    <t>RL-GA wins (BestFitness Avg)</t>
  </si>
  <si>
    <t>Positive improvement means RL-GA is lower/better.</t>
  </si>
  <si>
    <t>GA wins (BestFitness Avg)</t>
  </si>
  <si>
    <t>Positive time change means RL-GA took longer.</t>
  </si>
  <si>
    <t>Ties</t>
  </si>
  <si>
    <t>Avg BestFitness improvement</t>
  </si>
  <si>
    <t>Avg Time change (RL-GA - GA)</t>
  </si>
  <si>
    <t>Avg TotalDistance improvement</t>
  </si>
  <si>
    <t>GA BestFitness Avg</t>
  </si>
  <si>
    <t>RL-GA BestFitness Avg</t>
  </si>
  <si>
    <t>BestFitness Improvement</t>
  </si>
  <si>
    <t>GA Exec Avg (s)</t>
  </si>
  <si>
    <t>RL-GA Exec Avg (s)</t>
  </si>
  <si>
    <t>Time Change</t>
  </si>
  <si>
    <t>GA TotalDistance Avg</t>
  </si>
  <si>
    <t>RL-GA TotalDistance Avg</t>
  </si>
  <si>
    <t>Distance Improvement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</si>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</sst>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3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/>
    <xf numFmtId="1" fontId="0" fillId="4" borderId="0" xfId="0" applyNumberFormat="1" applyFill="1"/>
    <xf numFmtId="164" fontId="0" fillId="4" borderId="0" xfId="0" applyNumberFormat="1" applyFill="1"/>
    <xf numFmtId="164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6"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419100</xdr:colOff>
      <xdr:row>37</xdr:row>
      <xdr:rowOff>106680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B127C5B-2B46-019B-6DC5-8EA55FF868E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281940</xdr:colOff>
      <xdr:row>41</xdr:row>
      <xdr:rowOff>106680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23EBBAD7-C62F-E81E-743B-66D7218D179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25" sqref="G25"/>
    </sheetView>
  </sheetViews>
  <sheetFormatPr defaultRowHeight="14.4" x14ac:dyDescent="0.3"/>
  <cols>
    <col min="1" max="1" width="10" customWidth="1"/>
    <col min="2" max="2" width="12" customWidth="1"/>
    <col min="3" max="6" width="16" customWidth="1"/>
    <col min="7" max="7" width="19" customWidth="1"/>
    <col min="8" max="9" width="18" customWidth="1"/>
    <col min="10" max="10" width="17" customWidth="1"/>
  </cols>
  <sheetData>
    <row r="1" spans="1:10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">
      <c r="A2" s="14">
        <v>1</v>
      </c>
      <c r="B2" s="15" t="s">
        <v>10</v>
      </c>
      <c r="C2" s="16">
        <v>38.267402300377121</v>
      </c>
      <c r="D2" s="16">
        <v>0.94360821338468515</v>
      </c>
      <c r="E2" s="16">
        <v>37.198745233095543</v>
      </c>
      <c r="F2" s="16">
        <v>38.985783855668977</v>
      </c>
      <c r="G2" s="16">
        <v>212.2842761675517</v>
      </c>
      <c r="H2" s="16">
        <v>10.706836833689531</v>
      </c>
      <c r="I2" s="16">
        <v>36.690275734486811</v>
      </c>
      <c r="J2" s="16">
        <v>1.087465631574996</v>
      </c>
    </row>
    <row r="3" spans="1:10" x14ac:dyDescent="0.3">
      <c r="A3" s="14">
        <v>1</v>
      </c>
      <c r="B3" s="15" t="s">
        <v>11</v>
      </c>
      <c r="C3" s="16">
        <v>37.457802005914402</v>
      </c>
      <c r="D3" s="16">
        <v>3.0494683406823011</v>
      </c>
      <c r="E3" s="16">
        <v>34.445856197887537</v>
      </c>
      <c r="F3" s="16">
        <v>40.543456522771301</v>
      </c>
      <c r="G3" s="16">
        <v>249.1538960933685</v>
      </c>
      <c r="H3" s="16">
        <v>21.734185649270941</v>
      </c>
      <c r="I3" s="16">
        <v>36.084225349307218</v>
      </c>
      <c r="J3" s="16">
        <v>3.062881413696743</v>
      </c>
    </row>
    <row r="4" spans="1:10" x14ac:dyDescent="0.3">
      <c r="A4" s="14">
        <v>2</v>
      </c>
      <c r="B4" s="15" t="s">
        <v>10</v>
      </c>
      <c r="C4" s="16">
        <v>31.725277641037781</v>
      </c>
      <c r="D4" s="16">
        <v>1.4366318647823491</v>
      </c>
      <c r="E4" s="16">
        <v>30.744175835564509</v>
      </c>
      <c r="F4" s="16">
        <v>33.374271701801959</v>
      </c>
      <c r="G4" s="16">
        <v>212.7693336009979</v>
      </c>
      <c r="H4" s="16">
        <v>5.0957906893393954</v>
      </c>
      <c r="I4" s="16">
        <v>30.193910089399822</v>
      </c>
      <c r="J4" s="16">
        <v>1.1645404317316701</v>
      </c>
    </row>
    <row r="5" spans="1:10" x14ac:dyDescent="0.3">
      <c r="A5" s="14">
        <v>2</v>
      </c>
      <c r="B5" s="15" t="s">
        <v>11</v>
      </c>
      <c r="C5" s="16">
        <v>33.329673615414983</v>
      </c>
      <c r="D5" s="16">
        <v>4.6531971552971294</v>
      </c>
      <c r="E5" s="16">
        <v>29.21276634403451</v>
      </c>
      <c r="F5" s="16">
        <v>38.378202443338047</v>
      </c>
      <c r="G5" s="16">
        <v>224.1780244509379</v>
      </c>
      <c r="H5" s="16">
        <v>37.496179263427322</v>
      </c>
      <c r="I5" s="16">
        <v>31.949614150359348</v>
      </c>
      <c r="J5" s="16">
        <v>4.5986018245002906</v>
      </c>
    </row>
    <row r="6" spans="1:10" x14ac:dyDescent="0.3">
      <c r="A6" s="14">
        <v>3</v>
      </c>
      <c r="B6" s="15" t="s">
        <v>10</v>
      </c>
      <c r="C6" s="16">
        <v>34.95261103370332</v>
      </c>
      <c r="D6" s="16">
        <v>0.18208815728323419</v>
      </c>
      <c r="E6" s="16">
        <v>34.820091671878409</v>
      </c>
      <c r="F6" s="16">
        <v>35.160239243924607</v>
      </c>
      <c r="G6" s="16">
        <v>217.81723546981809</v>
      </c>
      <c r="H6" s="16">
        <v>3.6322032913244811</v>
      </c>
      <c r="I6" s="16">
        <v>33.250785621493932</v>
      </c>
      <c r="J6" s="16">
        <v>6.0015832768831358E-2</v>
      </c>
    </row>
    <row r="7" spans="1:10" x14ac:dyDescent="0.3">
      <c r="A7" s="14">
        <v>3</v>
      </c>
      <c r="B7" s="15" t="s">
        <v>11</v>
      </c>
      <c r="C7" s="16">
        <v>32.959892336458473</v>
      </c>
      <c r="D7" s="16">
        <v>4.7558723206846238</v>
      </c>
      <c r="E7" s="16">
        <v>27.662876523398751</v>
      </c>
      <c r="F7" s="16">
        <v>36.86320665746053</v>
      </c>
      <c r="G7" s="16">
        <v>267.11717383066821</v>
      </c>
      <c r="H7" s="16">
        <v>23.838334591947699</v>
      </c>
      <c r="I7" s="16">
        <v>31.458865572761219</v>
      </c>
      <c r="J7" s="16">
        <v>4.6495729354402249</v>
      </c>
    </row>
    <row r="8" spans="1:10" x14ac:dyDescent="0.3">
      <c r="A8" s="14">
        <v>4</v>
      </c>
      <c r="B8" s="15" t="s">
        <v>10</v>
      </c>
      <c r="C8" s="16">
        <v>32.615642540724679</v>
      </c>
      <c r="D8" s="16">
        <v>1.7463426095718171</v>
      </c>
      <c r="E8" s="16">
        <v>30.62449453763249</v>
      </c>
      <c r="F8" s="16">
        <v>33.887277644823449</v>
      </c>
      <c r="G8" s="16">
        <v>212.83435265223179</v>
      </c>
      <c r="H8" s="16">
        <v>1.9207319343907909</v>
      </c>
      <c r="I8" s="16">
        <v>31.239391589296702</v>
      </c>
      <c r="J8" s="16">
        <v>1.647815193298616</v>
      </c>
    </row>
    <row r="9" spans="1:10" x14ac:dyDescent="0.3">
      <c r="A9" s="14">
        <v>4</v>
      </c>
      <c r="B9" s="15" t="s">
        <v>11</v>
      </c>
      <c r="C9" s="16">
        <v>28.434666595421771</v>
      </c>
      <c r="D9" s="16">
        <v>1.888001785734186</v>
      </c>
      <c r="E9" s="16">
        <v>27.171973906762211</v>
      </c>
      <c r="F9" s="16">
        <v>30.605089326237859</v>
      </c>
      <c r="G9" s="16">
        <v>259.65100971857709</v>
      </c>
      <c r="H9" s="16">
        <v>19.00089794348785</v>
      </c>
      <c r="I9" s="16">
        <v>26.910607605196301</v>
      </c>
      <c r="J9" s="16">
        <v>1.8647467286434101</v>
      </c>
    </row>
    <row r="10" spans="1:10" x14ac:dyDescent="0.3">
      <c r="A10" s="14">
        <v>5</v>
      </c>
      <c r="B10" s="15" t="s">
        <v>10</v>
      </c>
      <c r="C10" s="16">
        <v>40.465703203358942</v>
      </c>
      <c r="D10" s="16">
        <v>1.738455617104764</v>
      </c>
      <c r="E10" s="16">
        <v>39.38695037027162</v>
      </c>
      <c r="F10" s="16">
        <v>42.471178926386543</v>
      </c>
      <c r="G10" s="16">
        <v>211.47822841008511</v>
      </c>
      <c r="H10" s="16">
        <v>4.2762256214352128</v>
      </c>
      <c r="I10" s="16">
        <v>38.814378177573097</v>
      </c>
      <c r="J10" s="16">
        <v>1.8765533250497579</v>
      </c>
    </row>
    <row r="11" spans="1:10" x14ac:dyDescent="0.3">
      <c r="A11" s="14">
        <v>5</v>
      </c>
      <c r="B11" s="15" t="s">
        <v>11</v>
      </c>
      <c r="C11" s="16">
        <v>38.35847389499105</v>
      </c>
      <c r="D11" s="16">
        <v>3.4342503067460162</v>
      </c>
      <c r="E11" s="16">
        <v>35.402851762774098</v>
      </c>
      <c r="F11" s="16">
        <v>42.125891592826271</v>
      </c>
      <c r="G11" s="16">
        <v>233.33974615732831</v>
      </c>
      <c r="H11" s="16">
        <v>22.75304583341369</v>
      </c>
      <c r="I11" s="16">
        <v>36.699191453827609</v>
      </c>
      <c r="J11" s="16">
        <v>3.5863358763217872</v>
      </c>
    </row>
    <row r="12" spans="1:10" x14ac:dyDescent="0.3">
      <c r="A12" s="14">
        <v>6</v>
      </c>
      <c r="B12" s="15" t="s">
        <v>10</v>
      </c>
      <c r="C12" s="16">
        <v>35.195309762207039</v>
      </c>
      <c r="D12" s="16">
        <v>2.6622160302775342</v>
      </c>
      <c r="E12" s="16">
        <v>32.123215990919299</v>
      </c>
      <c r="F12" s="16">
        <v>36.826614651073662</v>
      </c>
      <c r="G12" s="16">
        <v>204.70211998621619</v>
      </c>
      <c r="H12" s="16">
        <v>2.4545498839539159</v>
      </c>
      <c r="I12" s="16">
        <v>33.623660111929617</v>
      </c>
      <c r="J12" s="16">
        <v>2.6381180912908189</v>
      </c>
    </row>
    <row r="13" spans="1:10" x14ac:dyDescent="0.3">
      <c r="A13" s="14">
        <v>6</v>
      </c>
      <c r="B13" s="15" t="s">
        <v>11</v>
      </c>
      <c r="C13" s="16">
        <v>37.158593303343878</v>
      </c>
      <c r="D13" s="16">
        <v>1.2528813942237691</v>
      </c>
      <c r="E13" s="16">
        <v>35.732720963585088</v>
      </c>
      <c r="F13" s="16">
        <v>38.083373380440747</v>
      </c>
      <c r="G13" s="16">
        <v>250.0660143693288</v>
      </c>
      <c r="H13" s="16">
        <v>7.3418846193656657</v>
      </c>
      <c r="I13" s="16">
        <v>35.49223283518311</v>
      </c>
      <c r="J13" s="16">
        <v>1.189544069730941</v>
      </c>
    </row>
    <row r="14" spans="1:10" x14ac:dyDescent="0.3">
      <c r="A14" s="14">
        <v>7</v>
      </c>
      <c r="B14" s="15" t="s">
        <v>10</v>
      </c>
      <c r="C14" s="16">
        <v>32.792285508284237</v>
      </c>
      <c r="D14" s="16">
        <v>4.066163059864401</v>
      </c>
      <c r="E14" s="16">
        <v>28.30856681112498</v>
      </c>
      <c r="F14" s="16">
        <v>36.240744215791331</v>
      </c>
      <c r="G14" s="16">
        <v>212.92133156458539</v>
      </c>
      <c r="H14" s="16">
        <v>2.5596412840677059</v>
      </c>
      <c r="I14" s="16">
        <v>31.309200210423029</v>
      </c>
      <c r="J14" s="16">
        <v>4.0333189016699977</v>
      </c>
    </row>
    <row r="15" spans="1:10" x14ac:dyDescent="0.3">
      <c r="A15" s="14">
        <v>7</v>
      </c>
      <c r="B15" s="15" t="s">
        <v>11</v>
      </c>
      <c r="C15" s="16">
        <v>32.451008362391853</v>
      </c>
      <c r="D15" s="16">
        <v>4.9423901868953992</v>
      </c>
      <c r="E15" s="16">
        <v>28.217238030318551</v>
      </c>
      <c r="F15" s="16">
        <v>37.88204686540039</v>
      </c>
      <c r="G15" s="16">
        <v>260.5010392665863</v>
      </c>
      <c r="H15" s="16">
        <v>20.741612373223191</v>
      </c>
      <c r="I15" s="16">
        <v>30.805681838111191</v>
      </c>
      <c r="J15" s="16">
        <v>4.8273123965776783</v>
      </c>
    </row>
    <row r="16" spans="1:10" x14ac:dyDescent="0.3">
      <c r="A16" s="14">
        <v>8</v>
      </c>
      <c r="B16" s="15" t="s">
        <v>10</v>
      </c>
      <c r="C16" s="16">
        <v>35.808292936079383</v>
      </c>
      <c r="D16" s="16">
        <v>3.792748965081</v>
      </c>
      <c r="E16" s="16">
        <v>31.442535761175421</v>
      </c>
      <c r="F16" s="16">
        <v>38.291284717932932</v>
      </c>
      <c r="G16" s="16">
        <v>207.90914479891461</v>
      </c>
      <c r="H16" s="16">
        <v>2.42337247386611</v>
      </c>
      <c r="I16" s="16">
        <v>34.084635864575979</v>
      </c>
      <c r="J16" s="16">
        <v>3.964359552437386</v>
      </c>
    </row>
    <row r="17" spans="1:10" x14ac:dyDescent="0.3">
      <c r="A17" s="14">
        <v>8</v>
      </c>
      <c r="B17" s="15" t="s">
        <v>11</v>
      </c>
      <c r="C17" s="16">
        <v>34.903414436089463</v>
      </c>
      <c r="D17" s="16">
        <v>3.3450516266064159</v>
      </c>
      <c r="E17" s="16">
        <v>32.199307492905589</v>
      </c>
      <c r="F17" s="16">
        <v>38.644029109436708</v>
      </c>
      <c r="G17" s="16">
        <v>251.58197402954099</v>
      </c>
      <c r="H17" s="16">
        <v>22.3141922963054</v>
      </c>
      <c r="I17" s="16">
        <v>33.118160797803519</v>
      </c>
      <c r="J17" s="16">
        <v>3.2754037164761018</v>
      </c>
    </row>
    <row r="18" spans="1:10" x14ac:dyDescent="0.3">
      <c r="A18" s="14">
        <v>9</v>
      </c>
      <c r="B18" s="15" t="s">
        <v>10</v>
      </c>
      <c r="C18" s="16">
        <v>35.736872534034063</v>
      </c>
      <c r="D18" s="16">
        <v>2.8636652331037138</v>
      </c>
      <c r="E18" s="16">
        <v>32.532006912581593</v>
      </c>
      <c r="F18" s="16">
        <v>38.044433580339451</v>
      </c>
      <c r="G18" s="16">
        <v>213.68816518783569</v>
      </c>
      <c r="H18" s="16">
        <v>5.4247041409247734</v>
      </c>
      <c r="I18" s="16">
        <v>34.0767113973383</v>
      </c>
      <c r="J18" s="16">
        <v>2.6880123728320329</v>
      </c>
    </row>
    <row r="19" spans="1:10" x14ac:dyDescent="0.3">
      <c r="A19" s="14">
        <v>9</v>
      </c>
      <c r="B19" s="15" t="s">
        <v>11</v>
      </c>
      <c r="C19" s="16">
        <v>35.740246714838143</v>
      </c>
      <c r="D19" s="16">
        <v>1.4806585783582731</v>
      </c>
      <c r="E19" s="16">
        <v>34.135771684004801</v>
      </c>
      <c r="F19" s="16">
        <v>37.053947554687959</v>
      </c>
      <c r="G19" s="16">
        <v>238.64075072606411</v>
      </c>
      <c r="H19" s="16">
        <v>35.919661318421113</v>
      </c>
      <c r="I19" s="16">
        <v>34.36515048974924</v>
      </c>
      <c r="J19" s="16">
        <v>1.4440475272479869</v>
      </c>
    </row>
    <row r="20" spans="1:10" x14ac:dyDescent="0.3">
      <c r="A20" s="14">
        <v>10</v>
      </c>
      <c r="B20" s="15" t="s">
        <v>10</v>
      </c>
      <c r="C20" s="16">
        <v>34.99458813926158</v>
      </c>
      <c r="D20" s="16">
        <v>0.60006925980691161</v>
      </c>
      <c r="E20" s="16">
        <v>34.479836915251752</v>
      </c>
      <c r="F20" s="16">
        <v>35.653655796993689</v>
      </c>
      <c r="G20" s="16">
        <v>214.37778615951541</v>
      </c>
      <c r="H20" s="16">
        <v>8.6241037936726936</v>
      </c>
      <c r="I20" s="16">
        <v>33.510805192500449</v>
      </c>
      <c r="J20" s="16">
        <v>0.59845714257961047</v>
      </c>
    </row>
    <row r="21" spans="1:10" x14ac:dyDescent="0.3">
      <c r="A21" s="14">
        <v>10</v>
      </c>
      <c r="B21" s="15" t="s">
        <v>11</v>
      </c>
      <c r="C21" s="16">
        <v>30.004729502382929</v>
      </c>
      <c r="D21" s="16">
        <v>1.92416776600874</v>
      </c>
      <c r="E21" s="16">
        <v>28.68777197486634</v>
      </c>
      <c r="F21" s="16">
        <v>32.212930416975077</v>
      </c>
      <c r="G21" s="16">
        <v>245.3617870807648</v>
      </c>
      <c r="H21" s="16">
        <v>15.24752645065146</v>
      </c>
      <c r="I21" s="16">
        <v>28.61143112331418</v>
      </c>
      <c r="J21" s="16">
        <v>1.980786388804056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sqref="A1:K1"/>
    </sheetView>
  </sheetViews>
  <sheetFormatPr defaultRowHeight="14.4" x14ac:dyDescent="0.3"/>
  <cols>
    <col min="1" max="1" width="30" customWidth="1"/>
    <col min="2" max="2" width="14" customWidth="1"/>
    <col min="3" max="3" width="19" customWidth="1"/>
    <col min="4" max="4" width="44" customWidth="1"/>
    <col min="5" max="5" width="16" customWidth="1"/>
    <col min="6" max="6" width="17" customWidth="1"/>
    <col min="7" max="7" width="14" customWidth="1"/>
    <col min="8" max="8" width="19" customWidth="1"/>
    <col min="9" max="10" width="20" customWidth="1"/>
    <col min="11" max="11" width="12" customWidth="1"/>
  </cols>
  <sheetData>
    <row r="1" spans="1:11" ht="15.6" x14ac:dyDescent="0.3">
      <c r="A1" s="11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3">
      <c r="A3" s="5" t="s">
        <v>13</v>
      </c>
      <c r="B3" s="5" t="s">
        <v>14</v>
      </c>
      <c r="D3" s="1" t="s">
        <v>15</v>
      </c>
    </row>
    <row r="4" spans="1:11" x14ac:dyDescent="0.3">
      <c r="A4" s="6" t="s">
        <v>16</v>
      </c>
      <c r="B4" s="7">
        <f>COUNTIF(K11:K20,"RL-GA")</f>
        <v>7</v>
      </c>
      <c r="D4" s="2" t="s">
        <v>17</v>
      </c>
    </row>
    <row r="5" spans="1:11" x14ac:dyDescent="0.3">
      <c r="A5" s="6" t="s">
        <v>18</v>
      </c>
      <c r="B5" s="7">
        <f>COUNTIF(K11:K20,"GA")</f>
        <v>3</v>
      </c>
      <c r="D5" s="2" t="s">
        <v>19</v>
      </c>
    </row>
    <row r="6" spans="1:11" x14ac:dyDescent="0.3">
      <c r="A6" s="6" t="s">
        <v>20</v>
      </c>
      <c r="B6" s="7">
        <f>COUNTIF(K11:K20,"Tie")</f>
        <v>0</v>
      </c>
    </row>
    <row r="7" spans="1:11" x14ac:dyDescent="0.3">
      <c r="A7" s="6" t="s">
        <v>21</v>
      </c>
      <c r="B7" s="8">
        <f>AVERAGE(D11:D20)</f>
        <v>1.1755484831821199</v>
      </c>
    </row>
    <row r="8" spans="1:11" x14ac:dyDescent="0.3">
      <c r="A8" s="6" t="s">
        <v>22</v>
      </c>
      <c r="B8" s="8">
        <f>AVERAGE(G11:G20)</f>
        <v>35.880944172541305</v>
      </c>
    </row>
    <row r="9" spans="1:11" x14ac:dyDescent="0.3">
      <c r="A9" s="6" t="s">
        <v>23</v>
      </c>
      <c r="B9" s="8">
        <f>AVERAGE(J11:J20)</f>
        <v>1.1298592773404803</v>
      </c>
    </row>
    <row r="10" spans="1:11" x14ac:dyDescent="0.3">
      <c r="A10" s="3" t="s">
        <v>0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31</v>
      </c>
      <c r="J10" s="3" t="s">
        <v>32</v>
      </c>
      <c r="K10" s="3" t="s">
        <v>33</v>
      </c>
    </row>
    <row r="11" spans="1:11" x14ac:dyDescent="0.3">
      <c r="A11" s="4">
        <v>1</v>
      </c>
      <c r="B11" s="9">
        <f>Results!C2</f>
        <v>38.267402300377121</v>
      </c>
      <c r="C11" s="9">
        <f>Results!C3</f>
        <v>37.457802005914402</v>
      </c>
      <c r="D11" s="9">
        <f t="shared" ref="D11:D20" si="0">B11-C11</f>
        <v>0.80960029446271875</v>
      </c>
      <c r="E11" s="9">
        <f>Results!G2</f>
        <v>212.2842761675517</v>
      </c>
      <c r="F11" s="9">
        <f>Results!G3</f>
        <v>249.1538960933685</v>
      </c>
      <c r="G11" s="9">
        <f t="shared" ref="G11:G20" si="1">F11-E11</f>
        <v>36.869619925816806</v>
      </c>
      <c r="H11" s="9">
        <f>Results!I2</f>
        <v>36.690275734486811</v>
      </c>
      <c r="I11" s="9">
        <f>Results!I3</f>
        <v>36.084225349307218</v>
      </c>
      <c r="J11" s="9">
        <f t="shared" ref="J11:J20" si="2">H11-I11</f>
        <v>0.60605038517959287</v>
      </c>
      <c r="K11" s="10" t="str">
        <f t="shared" ref="K11:K20" si="3">IF(D11&gt;0,"RL-GA",IF(D11&lt;0,"GA","Tie"))</f>
        <v>RL-GA</v>
      </c>
    </row>
    <row r="12" spans="1:11" x14ac:dyDescent="0.3">
      <c r="A12" s="4">
        <v>2</v>
      </c>
      <c r="B12" s="9">
        <f>Results!C4</f>
        <v>31.725277641037781</v>
      </c>
      <c r="C12" s="9">
        <f>Results!C5</f>
        <v>33.329673615414983</v>
      </c>
      <c r="D12" s="9">
        <f t="shared" si="0"/>
        <v>-1.6043959743772014</v>
      </c>
      <c r="E12" s="9">
        <f>Results!G4</f>
        <v>212.7693336009979</v>
      </c>
      <c r="F12" s="9">
        <f>Results!G5</f>
        <v>224.1780244509379</v>
      </c>
      <c r="G12" s="9">
        <f t="shared" si="1"/>
        <v>11.408690849940001</v>
      </c>
      <c r="H12" s="9">
        <f>Results!I4</f>
        <v>30.193910089399822</v>
      </c>
      <c r="I12" s="9">
        <f>Results!I5</f>
        <v>31.949614150359348</v>
      </c>
      <c r="J12" s="9">
        <f t="shared" si="2"/>
        <v>-1.7557040609595269</v>
      </c>
      <c r="K12" s="10" t="str">
        <f t="shared" si="3"/>
        <v>GA</v>
      </c>
    </row>
    <row r="13" spans="1:11" x14ac:dyDescent="0.3">
      <c r="A13" s="4">
        <v>3</v>
      </c>
      <c r="B13" s="9">
        <f>Results!C6</f>
        <v>34.95261103370332</v>
      </c>
      <c r="C13" s="9">
        <f>Results!C7</f>
        <v>32.959892336458473</v>
      </c>
      <c r="D13" s="9">
        <f t="shared" si="0"/>
        <v>1.9927186972448467</v>
      </c>
      <c r="E13" s="9">
        <f>Results!G6</f>
        <v>217.81723546981809</v>
      </c>
      <c r="F13" s="9">
        <f>Results!G7</f>
        <v>267.11717383066821</v>
      </c>
      <c r="G13" s="9">
        <f t="shared" si="1"/>
        <v>49.29993836085012</v>
      </c>
      <c r="H13" s="9">
        <f>Results!I6</f>
        <v>33.250785621493932</v>
      </c>
      <c r="I13" s="9">
        <f>Results!I7</f>
        <v>31.458865572761219</v>
      </c>
      <c r="J13" s="9">
        <f t="shared" si="2"/>
        <v>1.7919200487327132</v>
      </c>
      <c r="K13" s="10" t="str">
        <f t="shared" si="3"/>
        <v>RL-GA</v>
      </c>
    </row>
    <row r="14" spans="1:11" x14ac:dyDescent="0.3">
      <c r="A14" s="4">
        <v>4</v>
      </c>
      <c r="B14" s="9">
        <f>Results!C8</f>
        <v>32.615642540724679</v>
      </c>
      <c r="C14" s="9">
        <f>Results!C9</f>
        <v>28.434666595421771</v>
      </c>
      <c r="D14" s="9">
        <f t="shared" si="0"/>
        <v>4.1809759453029081</v>
      </c>
      <c r="E14" s="9">
        <f>Results!G8</f>
        <v>212.83435265223179</v>
      </c>
      <c r="F14" s="9">
        <f>Results!G9</f>
        <v>259.65100971857709</v>
      </c>
      <c r="G14" s="9">
        <f t="shared" si="1"/>
        <v>46.8166570663453</v>
      </c>
      <c r="H14" s="9">
        <f>Results!I8</f>
        <v>31.239391589296702</v>
      </c>
      <c r="I14" s="9">
        <f>Results!I9</f>
        <v>26.910607605196301</v>
      </c>
      <c r="J14" s="9">
        <f t="shared" si="2"/>
        <v>4.3287839841004008</v>
      </c>
      <c r="K14" s="10" t="str">
        <f t="shared" si="3"/>
        <v>RL-GA</v>
      </c>
    </row>
    <row r="15" spans="1:11" x14ac:dyDescent="0.3">
      <c r="A15" s="4">
        <v>5</v>
      </c>
      <c r="B15" s="9">
        <f>Results!C10</f>
        <v>40.465703203358942</v>
      </c>
      <c r="C15" s="9">
        <f>Results!C11</f>
        <v>38.35847389499105</v>
      </c>
      <c r="D15" s="9">
        <f t="shared" si="0"/>
        <v>2.1072293083678915</v>
      </c>
      <c r="E15" s="9">
        <f>Results!G10</f>
        <v>211.47822841008511</v>
      </c>
      <c r="F15" s="9">
        <f>Results!G11</f>
        <v>233.33974615732831</v>
      </c>
      <c r="G15" s="9">
        <f t="shared" si="1"/>
        <v>21.861517747243198</v>
      </c>
      <c r="H15" s="9">
        <f>Results!I10</f>
        <v>38.814378177573097</v>
      </c>
      <c r="I15" s="9">
        <f>Results!I11</f>
        <v>36.699191453827609</v>
      </c>
      <c r="J15" s="9">
        <f t="shared" si="2"/>
        <v>2.115186723745488</v>
      </c>
      <c r="K15" s="10" t="str">
        <f t="shared" si="3"/>
        <v>RL-GA</v>
      </c>
    </row>
    <row r="16" spans="1:11" x14ac:dyDescent="0.3">
      <c r="A16" s="4">
        <v>6</v>
      </c>
      <c r="B16" s="9">
        <f>Results!C12</f>
        <v>35.195309762207039</v>
      </c>
      <c r="C16" s="9">
        <f>Results!C13</f>
        <v>37.158593303343878</v>
      </c>
      <c r="D16" s="9">
        <f t="shared" si="0"/>
        <v>-1.963283541136839</v>
      </c>
      <c r="E16" s="9">
        <f>Results!G12</f>
        <v>204.70211998621619</v>
      </c>
      <c r="F16" s="9">
        <f>Results!G13</f>
        <v>250.0660143693288</v>
      </c>
      <c r="G16" s="9">
        <f t="shared" si="1"/>
        <v>45.363894383112608</v>
      </c>
      <c r="H16" s="9">
        <f>Results!I12</f>
        <v>33.623660111929617</v>
      </c>
      <c r="I16" s="9">
        <f>Results!I13</f>
        <v>35.49223283518311</v>
      </c>
      <c r="J16" s="9">
        <f t="shared" si="2"/>
        <v>-1.868572723253493</v>
      </c>
      <c r="K16" s="10" t="str">
        <f t="shared" si="3"/>
        <v>GA</v>
      </c>
    </row>
    <row r="17" spans="1:11" x14ac:dyDescent="0.3">
      <c r="A17" s="4">
        <v>7</v>
      </c>
      <c r="B17" s="9">
        <f>Results!C14</f>
        <v>32.792285508284237</v>
      </c>
      <c r="C17" s="9">
        <f>Results!C15</f>
        <v>32.451008362391853</v>
      </c>
      <c r="D17" s="9">
        <f t="shared" si="0"/>
        <v>0.34127714589238423</v>
      </c>
      <c r="E17" s="9">
        <f>Results!G14</f>
        <v>212.92133156458539</v>
      </c>
      <c r="F17" s="9">
        <f>Results!G15</f>
        <v>260.5010392665863</v>
      </c>
      <c r="G17" s="9">
        <f t="shared" si="1"/>
        <v>47.579707702000917</v>
      </c>
      <c r="H17" s="9">
        <f>Results!I14</f>
        <v>31.309200210423029</v>
      </c>
      <c r="I17" s="9">
        <f>Results!I15</f>
        <v>30.805681838111191</v>
      </c>
      <c r="J17" s="9">
        <f t="shared" si="2"/>
        <v>0.50351837231183794</v>
      </c>
      <c r="K17" s="10" t="str">
        <f t="shared" si="3"/>
        <v>RL-GA</v>
      </c>
    </row>
    <row r="18" spans="1:11" x14ac:dyDescent="0.3">
      <c r="A18" s="4">
        <v>8</v>
      </c>
      <c r="B18" s="9">
        <f>Results!C16</f>
        <v>35.808292936079383</v>
      </c>
      <c r="C18" s="9">
        <f>Results!C17</f>
        <v>34.903414436089463</v>
      </c>
      <c r="D18" s="9">
        <f t="shared" si="0"/>
        <v>0.90487849998991976</v>
      </c>
      <c r="E18" s="9">
        <f>Results!G16</f>
        <v>207.90914479891461</v>
      </c>
      <c r="F18" s="9">
        <f>Results!G17</f>
        <v>251.58197402954099</v>
      </c>
      <c r="G18" s="9">
        <f t="shared" si="1"/>
        <v>43.672829230626377</v>
      </c>
      <c r="H18" s="9">
        <f>Results!I16</f>
        <v>34.084635864575979</v>
      </c>
      <c r="I18" s="9">
        <f>Results!I17</f>
        <v>33.118160797803519</v>
      </c>
      <c r="J18" s="9">
        <f t="shared" si="2"/>
        <v>0.96647506677246042</v>
      </c>
      <c r="K18" s="10" t="str">
        <f t="shared" si="3"/>
        <v>RL-GA</v>
      </c>
    </row>
    <row r="19" spans="1:11" x14ac:dyDescent="0.3">
      <c r="A19" s="4">
        <v>9</v>
      </c>
      <c r="B19" s="9">
        <f>Results!C18</f>
        <v>35.736872534034063</v>
      </c>
      <c r="C19" s="9">
        <f>Results!C19</f>
        <v>35.740246714838143</v>
      </c>
      <c r="D19" s="9">
        <f t="shared" si="0"/>
        <v>-3.3741808040801402E-3</v>
      </c>
      <c r="E19" s="9">
        <f>Results!G18</f>
        <v>213.68816518783569</v>
      </c>
      <c r="F19" s="9">
        <f>Results!G19</f>
        <v>238.64075072606411</v>
      </c>
      <c r="G19" s="9">
        <f t="shared" si="1"/>
        <v>24.952585538228419</v>
      </c>
      <c r="H19" s="9">
        <f>Results!I18</f>
        <v>34.0767113973383</v>
      </c>
      <c r="I19" s="9">
        <f>Results!I19</f>
        <v>34.36515048974924</v>
      </c>
      <c r="J19" s="9">
        <f t="shared" si="2"/>
        <v>-0.28843909241093968</v>
      </c>
      <c r="K19" s="10" t="str">
        <f t="shared" si="3"/>
        <v>GA</v>
      </c>
    </row>
    <row r="20" spans="1:11" x14ac:dyDescent="0.3">
      <c r="A20" s="4">
        <v>10</v>
      </c>
      <c r="B20" s="9">
        <f>Results!C20</f>
        <v>34.99458813926158</v>
      </c>
      <c r="C20" s="9">
        <f>Results!C21</f>
        <v>30.004729502382929</v>
      </c>
      <c r="D20" s="9">
        <f t="shared" si="0"/>
        <v>4.9898586368786511</v>
      </c>
      <c r="E20" s="9">
        <f>Results!G20</f>
        <v>214.37778615951541</v>
      </c>
      <c r="F20" s="9">
        <f>Results!G21</f>
        <v>245.3617870807648</v>
      </c>
      <c r="G20" s="9">
        <f t="shared" si="1"/>
        <v>30.98400092124939</v>
      </c>
      <c r="H20" s="9">
        <f>Results!I20</f>
        <v>33.510805192500449</v>
      </c>
      <c r="I20" s="9">
        <f>Results!I21</f>
        <v>28.61143112331418</v>
      </c>
      <c r="J20" s="9">
        <f t="shared" si="2"/>
        <v>4.8993740691862691</v>
      </c>
      <c r="K20" s="10" t="str">
        <f t="shared" si="3"/>
        <v>RL-GA</v>
      </c>
    </row>
  </sheetData>
  <mergeCells count="1">
    <mergeCell ref="A1:K1"/>
  </mergeCells>
  <conditionalFormatting sqref="D11:D20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G11:G20">
    <cfRule type="cellIs" dxfId="3" priority="5" operator="lessThanOrEqual">
      <formula>0</formula>
    </cfRule>
    <cfRule type="cellIs" dxfId="2" priority="6" operator="greaterThan">
      <formula>0</formula>
    </cfRule>
  </conditionalFormatting>
  <conditionalFormatting sqref="J11:J20"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#DAVE CHRISTOPHER HONG#</cp:lastModifiedBy>
  <dcterms:modified xsi:type="dcterms:W3CDTF">2026-04-05T04:04:09Z</dcterms:modified>
</cp:coreProperties>
</file>